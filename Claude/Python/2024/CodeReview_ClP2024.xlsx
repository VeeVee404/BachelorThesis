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nessa\Documents\Uni\Bachelor-Thesis\BachelorThesis\Claude\Python\2024\"/>
    </mc:Choice>
  </mc:AlternateContent>
  <xr:revisionPtr revIDLastSave="0" documentId="13_ncr:1_{6EB08BA9-4D65-476E-9CB4-0CB11ED27C1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cores" sheetId="1" r:id="rId1"/>
    <sheet name="ClP_2024_Clau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2" l="1"/>
  <c r="F15" i="2"/>
  <c r="D15" i="2"/>
  <c r="B15" i="2"/>
  <c r="D38" i="1"/>
  <c r="B38" i="1"/>
  <c r="D23" i="1"/>
  <c r="B23" i="1"/>
</calcChain>
</file>

<file path=xl/sharedStrings.xml><?xml version="1.0" encoding="utf-8"?>
<sst xmlns="http://schemas.openxmlformats.org/spreadsheetml/2006/main" count="154" uniqueCount="119">
  <si>
    <t>Claude Python 2024</t>
  </si>
  <si>
    <t>LLM-as-a-judge</t>
  </si>
  <si>
    <t>File</t>
  </si>
  <si>
    <t># of points</t>
  </si>
  <si>
    <t>Readability</t>
  </si>
  <si>
    <t>Readability Justification</t>
  </si>
  <si>
    <t>Idiomatic Use</t>
  </si>
  <si>
    <t>Idiomatic Justification</t>
  </si>
  <si>
    <t>Day1_Solution_2024.py</t>
  </si>
  <si>
    <t>Compact and easy to follow, but the core workflow is compressed into top-level expressions with minimal naming.</t>
  </si>
  <si>
    <t>Uses context managers, generators, and built-ins well, but relies on a brittle hard-coded relative path and no main guard.</t>
  </si>
  <si>
    <t>Day1b_Solution_2024.py</t>
  </si>
  <si>
    <t>Clear and direct, with Counter making the intent visible. The parsing step is still somewhat compressed.</t>
  </si>
  <si>
    <t>This is strong Python for the task: Counter, unpacking, and a direct aggregation pass are appropriate and clean.</t>
  </si>
  <si>
    <t>Day2_Solution_2024.py</t>
  </si>
  <si>
    <t>The helper improves clarity, though the list-comprehension diff calculation is still fairly condensed.</t>
  </si>
  <si>
    <t>Uses all and a focused helper well, but keeps the same brittle file path and script-only structure.</t>
  </si>
  <si>
    <t>Day2b_Solution_2024.py</t>
  </si>
  <si>
    <t>The two helpers communicate intent well. List slicing inside the retry loop is readable but slightly heavy.</t>
  </si>
  <si>
    <t>This is solid Python, though repeated slicing to test variants is more brute-force than elegant.</t>
  </si>
  <si>
    <t>Day12_Solution_2024.py</t>
  </si>
  <si>
    <t>The BFS is understandable, but repeated tuple literals and dense inner-loop conditions make it less effortless to read.</t>
  </si>
  <si>
    <t>Using deque for BFS is appropriate and Pythonic. The implementation is practical, if somewhat script-oriented.</t>
  </si>
  <si>
    <t>Day12b_Solution_2024.py</t>
  </si>
  <si>
    <t>Naming is decent and comments help, but the corner-counting geometry still requires careful reading.</t>
  </si>
  <si>
    <t>Good use of helpers and deque; the code is practical Python even if some logic is quite problem-specific.</t>
  </si>
  <si>
    <t>Day13_Solution_2024.py</t>
  </si>
  <si>
    <t>The control flow is mostly clear, and the degenerate-case comment helps. The arithmetic branches still demand attention.</t>
  </si>
  <si>
    <t>Regex parsing and integer arithmetic are used appropriately. The implementation is competent, if still script-centric.</t>
  </si>
  <si>
    <t>Day13b_Solution_2024.py</t>
  </si>
  <si>
    <t>Short and linear, with the offset and determinant logic easy enough to follow once the puzzle context is known.</t>
  </si>
  <si>
    <t>Uses Python built-ins and arithmetic cleanly. It is effective, though not especially structured.</t>
  </si>
  <si>
    <t>Day24_Solution_2024.py</t>
  </si>
  <si>
    <t>The gate simulation is understandable, but the state-mutation loop takes a bit more effort to scan than the smaller scripts.</t>
  </si>
  <si>
    <t>Tuple unpacking, dictionary use, and list filtering are appropriate. The approach is straightforward Python.</t>
  </si>
  <si>
    <t>Day24b_Solution_2024.py</t>
  </si>
  <si>
    <t>Comments help, but the rule-based heuristics depend heavily on puzzle-specific assumptions and compact string indexing.</t>
  </si>
  <si>
    <t>Regular expressions, defaultdict, and set accumulation are all appropriate choices for this kind of analysis.</t>
  </si>
  <si>
    <t>Day25_Solution_2024.py</t>
  </si>
  <si>
    <t>Compact and fairly easy to follow, though the inline height calculations are somewhat dense.</t>
  </si>
  <si>
    <t>The comprehensions and aggregate final check are idiomatic enough for a short script.</t>
  </si>
  <si>
    <t>Structure</t>
  </si>
  <si>
    <t>Structure Justification</t>
  </si>
  <si>
    <t>Unnecessary Complexity</t>
  </si>
  <si>
    <t>Complexity Justification</t>
  </si>
  <si>
    <t>Input, computation, output, and timing all sit at module scope with no functional separation.</t>
  </si>
  <si>
    <t>The solution stays lean; the parsing expression is only slightly denser than necessary.</t>
  </si>
  <si>
    <t>Still script-style, but the logic is short and cohesive enough that the lack of helpers is less harmful.</t>
  </si>
  <si>
    <t>No obvious unnecessary machinery. The approach is concise without becoming obscure.</t>
  </si>
  <si>
    <t>Better than the shortest scripts because the core rule is extracted into is_safe, but orchestration remains at top level.</t>
  </si>
  <si>
    <t>Reasonably simple; building the full diffs list is acceptable, though not the only option.</t>
  </si>
  <si>
    <t>The logic is decomposed into sensible helpers, leaving only data loading and aggregation at top level.</t>
  </si>
  <si>
    <t>The brute-force retry is acceptable for the problem, but it does introduce avoidable repeated list construction.</t>
  </si>
  <si>
    <t>The algorithm is logically ordered, yet everything still lives in one top-level block rather than named units.</t>
  </si>
  <si>
    <t>The approach matches the task and is not overengineered, but the nested control flow is naturally a bit dense.</t>
  </si>
  <si>
    <t>Helper functions isolate region checks and corner logic, which makes the main traversal easier to follow.</t>
  </si>
  <si>
    <t>The solution is justified, but the rotated-neighbor corner logic is inherently tricky and somewhat dense.</t>
  </si>
  <si>
    <t>The block processing is orderly, but the script would benefit from extraction into parsing and solving helpers.</t>
  </si>
  <si>
    <t>The solution stays close to the math. The fallback brute-force path adds some branching, but not gratuitous complexity.</t>
  </si>
  <si>
    <t>Single-pass and coherent, but still written entirely as top-level script logic.</t>
  </si>
  <si>
    <t>No obvious overcomplication. The algebraic approach is direct and avoids unnecessary search.</t>
  </si>
  <si>
    <t>Parsing and evaluation are separated conceptually, yet both remain in one module-level flow with no reusable functions.</t>
  </si>
  <si>
    <t>The pending-loop simulation is reasonable for the problem and not excessively clever.</t>
  </si>
  <si>
    <t>The analysis is organized into clear stages: parsing, consumer indexing, then validation rules.</t>
  </si>
  <si>
    <t>The code is not bloated, but the five ad hoc validation rules create nontrivial cognitive overhead.</t>
  </si>
  <si>
    <t>The solution is linear and coherent, but still keeps parsing and evaluation entirely at top level.</t>
  </si>
  <si>
    <t>The implementation is concise and avoids unnecessary abstraction, with only minor density in the nested comprehensions.</t>
  </si>
  <si>
    <t xml:space="preserve">SonarQube </t>
  </si>
  <si>
    <t># of findings</t>
  </si>
  <si>
    <t>Two branches in a conditional structure should not have exactly the same implementation</t>
  </si>
  <si>
    <t>'startswith' or 'endswith' methods should be used instead of string slicing in condition expressions</t>
  </si>
  <si>
    <t>Codeacy</t>
  </si>
  <si>
    <t>Claude</t>
  </si>
  <si>
    <t>Method main has 54 lines of code</t>
  </si>
  <si>
    <t>Claude Python 2024 - Code Quality Review (Claude self-evaluation)</t>
  </si>
  <si>
    <t>Logic fits in three lines; variable names are clear. Timing boilerplate at module scope adds minor visual noise.</t>
  </si>
  <si>
    <t>No functions; timing, I/O, and computation all live at module scope with no separation.</t>
  </si>
  <si>
    <t>zip(*iterable) transpose, sorted, and a sum-over-generator are textbook Python; nothing forced.</t>
  </si>
  <si>
    <t>Nothing superfluous - the solution is as short as the problem allows.</t>
  </si>
  <si>
    <t>Three lines; Counter makes the intent immediately obvious without any need for comments.</t>
  </si>
  <si>
    <t>Script-style with no functions, but the code is so short that the lack of structure is inconsequential.</t>
  </si>
  <si>
    <t>Counter plus a generator sum is the canonical Python idiom for a frequency-weighted total.</t>
  </si>
  <si>
    <t>No excess at all; the entire solution maps directly onto the problem statement.</t>
  </si>
  <si>
    <t>Well-named is_safe helper; the range(len()-1) indexing is slightly less fluent than zip(l, l[1:]).</t>
  </si>
  <si>
    <t>One helper extracted, but timing boilerplate and orchestration remain interleaved at module level.</t>
  </si>
  <si>
    <t>all() predicates are well used; range(len(x)-1) is correct but less idiomatic than zip-pairing.</t>
  </si>
  <si>
    <t>Straightforward; no unnecessary logic or branching.</t>
  </si>
  <si>
    <t>Two well-named helpers make the intent immediately clear; any reader can trace the logic top to bottom.</t>
  </si>
  <si>
    <t>Proper function decomposition; only aggregation and file I/O remain at top level. Missing if __name__ guard.</t>
  </si>
  <si>
    <t>any() over a generator of sliced-list variants is idiomatic and concise.</t>
  </si>
  <si>
    <t>List-copy retry is O(n^2) but natural for this problem size; no gratuitous complexity.</t>
  </si>
  <si>
    <t>BFS inlined inside a double loop; unlabeled direction tuples and nested conditions make it harder to scan.</t>
  </si>
  <si>
    <t>No function extraction despite clear subtasks (flood-fill, perimeter accumulation); everything at module scope.</t>
  </si>
  <si>
    <t>deque used correctly for BFS, but a 2D visited list is more verbose than a set of coordinates.</t>
  </si>
  <si>
    <t>No overengineering; algorithm is correct and direct, if structurally flat.</t>
  </si>
  <si>
    <t>Comments explain the geometry, but the rotation math (dc, -dr) for orthogonal neighbors demands careful reading.</t>
  </si>
  <si>
    <t>in_region and count_corners are extracted; the BFS traversal is still inlined at module level.</t>
  </si>
  <si>
    <t>deque used correctly; the rotation trick is compact but not a conventional Python pattern.</t>
  </si>
  <si>
    <t>Corner detection is inherently tricky; comments help, but the dense geometry still imposes cognitive load.</t>
  </si>
  <si>
    <t>Cramer's rule steps are clear, but the degenerate brute-force branch adds significant cognitive load.</t>
  </si>
  <si>
    <t>All logic is inline; no helpers for parsing or solving despite the algorithm having natural sub-steps.</t>
  </si>
  <si>
    <t>Regex digit extraction and integer arithmetic are the right tools; applied correctly throughout.</t>
  </si>
  <si>
    <t>The degenerate (det==0) branch is dead code for valid AoC inputs - adds complexity with no benefit.</t>
  </si>
  <si>
    <t>Short and clean; dropping the degenerate branch from Part A reduces noise significantly.</t>
  </si>
  <si>
    <t>Script-style; cohesive given the brevity, but still lacks a dedicated solving helper.</t>
  </si>
  <si>
    <t>Regex plus integer Cramer rule is clean and appropriate.</t>
  </si>
  <si>
    <t>Minimal algebraic solution; no extraneous logic or search fallback.</t>
  </si>
  <si>
    <t>Wire simulation is understandable; parsing and evaluation are undifferentiated in one flat block.</t>
  </si>
  <si>
    <t>Everything at module level; no separation between parsing, simulation, and output.</t>
  </si>
  <si>
    <t>Repeated-pass topological sort works; graphlib.TopologicalSorter (Python 3.9+) would be more idiomatic.</t>
  </si>
  <si>
    <t>Pending-list drain is a simple and valid simulation strategy; not overengineered.</t>
  </si>
  <si>
    <t>Rule comments help, but five ad-hoc conditions with character-level string indexing make it dense.</t>
  </si>
  <si>
    <t>All rules inlined in one for-loop with no named helpers; decomposing each rule into a function would improve clarity.</t>
  </si>
  <si>
    <t>defaultdict, set, and re.match are appropriate choices throughout.</t>
  </si>
  <si>
    <t>Rules 3 and 5 share an identical guard condition; the duplicated logic and ad-hoc rule set add cognitive overhead.</t>
  </si>
  <si>
    <t>Inline comments clarify lock/key distinction; the nested sum/all is concise but requires a moment of parsing.</t>
  </si>
  <si>
    <t>Parsing and evaluation at module level; a parse helper would separate concerns cleanly.</t>
  </si>
  <si>
    <t>sum over a nested generator with all and zip is genuinely idiomatic Python.</t>
  </si>
  <si>
    <t>No excess; hardcoded ranges directly reflect the fixed puzzle grid dimensions.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</si>
</sst>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3"/>
      <name val="Aptos Narrow"/>
    </font>
    <font>
      <b/>
      <sz val="11"/>
      <name val="Aptos Narrow"/>
    </font>
    <font>
      <sz val="9"/>
      <name val="Courier New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/>
    <xf numFmtId="0" fontId="2" fillId="3" borderId="0"/>
  </cellStyleXfs>
  <cellXfs count="10">
    <xf numFmtId="0" fontId="0" fillId="0" borderId="0" xfId="0"/>
    <xf numFmtId="0" fontId="1" fillId="2" borderId="0" xfId="1"/>
    <xf numFmtId="0" fontId="0" fillId="0" borderId="0" xfId="0" applyAlignment="1">
      <alignment vertical="center" wrapText="1"/>
    </xf>
    <xf numFmtId="0" fontId="2" fillId="3" borderId="0" xfId="2"/>
    <xf numFmtId="0" fontId="4" fillId="4" borderId="0" xfId="0" applyFont="1" applyFill="1" applyAlignment="1">
      <alignment horizontal="center" vertical="top"/>
    </xf>
    <xf numFmtId="0" fontId="5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3" fillId="0" borderId="0" xfId="0" applyFont="1"/>
    <xf numFmtId="0" fontId="0" fillId="0" borderId="0" xfId="0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"/>
  <sheetViews>
    <sheetView topLeftCell="A10" workbookViewId="0">
      <selection activeCell="A57" sqref="A57:E58"/>
    </sheetView>
  </sheetViews>
  <sheetFormatPr defaultRowHeight="15" x14ac:dyDescent="0.25"/>
  <cols>
    <col min="1" max="1" width="29.85546875" customWidth="1"/>
    <col min="2" max="2" width="13.7109375" customWidth="1"/>
    <col min="3" max="3" width="112" customWidth="1"/>
    <col min="4" max="4" width="24.140625" customWidth="1"/>
    <col min="5" max="5" width="109.5703125" customWidth="1"/>
    <col min="7" max="7" width="111.7109375" customWidth="1"/>
  </cols>
  <sheetData>
    <row r="1" spans="1:5" x14ac:dyDescent="0.25">
      <c r="A1" s="1" t="s">
        <v>0</v>
      </c>
      <c r="B1" s="1"/>
    </row>
    <row r="3" spans="1:5" x14ac:dyDescent="0.25">
      <c r="A3" s="1" t="s">
        <v>1</v>
      </c>
      <c r="B3" s="1"/>
    </row>
    <row r="9" spans="1:5" x14ac:dyDescent="0.25">
      <c r="A9" t="s">
        <v>2</v>
      </c>
      <c r="B9" t="s">
        <v>3</v>
      </c>
      <c r="D9" t="s">
        <v>3</v>
      </c>
    </row>
    <row r="11" spans="1:5" x14ac:dyDescent="0.25">
      <c r="B11" t="s">
        <v>4</v>
      </c>
      <c r="C11" t="s">
        <v>5</v>
      </c>
      <c r="D11" t="s">
        <v>6</v>
      </c>
      <c r="E11" t="s">
        <v>7</v>
      </c>
    </row>
    <row r="12" spans="1:5" x14ac:dyDescent="0.25">
      <c r="A12" t="s">
        <v>8</v>
      </c>
      <c r="B12">
        <v>4</v>
      </c>
      <c r="C12" t="s">
        <v>9</v>
      </c>
      <c r="D12">
        <v>4</v>
      </c>
      <c r="E12" t="s">
        <v>10</v>
      </c>
    </row>
    <row r="13" spans="1:5" x14ac:dyDescent="0.25">
      <c r="A13" t="s">
        <v>11</v>
      </c>
      <c r="B13">
        <v>4</v>
      </c>
      <c r="C13" t="s">
        <v>12</v>
      </c>
      <c r="D13">
        <v>5</v>
      </c>
      <c r="E13" t="s">
        <v>13</v>
      </c>
    </row>
    <row r="14" spans="1:5" x14ac:dyDescent="0.25">
      <c r="A14" t="s">
        <v>14</v>
      </c>
      <c r="B14">
        <v>4</v>
      </c>
      <c r="C14" t="s">
        <v>15</v>
      </c>
      <c r="D14">
        <v>4</v>
      </c>
      <c r="E14" t="s">
        <v>16</v>
      </c>
    </row>
    <row r="15" spans="1:5" x14ac:dyDescent="0.25">
      <c r="A15" t="s">
        <v>17</v>
      </c>
      <c r="B15">
        <v>4</v>
      </c>
      <c r="C15" t="s">
        <v>18</v>
      </c>
      <c r="D15">
        <v>4</v>
      </c>
      <c r="E15" t="s">
        <v>19</v>
      </c>
    </row>
    <row r="16" spans="1:5" x14ac:dyDescent="0.25">
      <c r="A16" t="s">
        <v>20</v>
      </c>
      <c r="B16">
        <v>4</v>
      </c>
      <c r="C16" t="s">
        <v>21</v>
      </c>
      <c r="D16">
        <v>4</v>
      </c>
      <c r="E16" t="s">
        <v>22</v>
      </c>
    </row>
    <row r="17" spans="1:5" x14ac:dyDescent="0.25">
      <c r="A17" t="s">
        <v>23</v>
      </c>
      <c r="B17">
        <v>4</v>
      </c>
      <c r="C17" t="s">
        <v>24</v>
      </c>
      <c r="D17">
        <v>4</v>
      </c>
      <c r="E17" t="s">
        <v>25</v>
      </c>
    </row>
    <row r="18" spans="1:5" x14ac:dyDescent="0.25">
      <c r="A18" t="s">
        <v>26</v>
      </c>
      <c r="B18">
        <v>4</v>
      </c>
      <c r="C18" t="s">
        <v>27</v>
      </c>
      <c r="D18">
        <v>4</v>
      </c>
      <c r="E18" t="s">
        <v>28</v>
      </c>
    </row>
    <row r="19" spans="1:5" x14ac:dyDescent="0.25">
      <c r="A19" t="s">
        <v>29</v>
      </c>
      <c r="B19">
        <v>4</v>
      </c>
      <c r="C19" t="s">
        <v>30</v>
      </c>
      <c r="D19">
        <v>4</v>
      </c>
      <c r="E19" t="s">
        <v>31</v>
      </c>
    </row>
    <row r="20" spans="1:5" x14ac:dyDescent="0.25">
      <c r="A20" t="s">
        <v>32</v>
      </c>
      <c r="B20">
        <v>4</v>
      </c>
      <c r="C20" t="s">
        <v>33</v>
      </c>
      <c r="D20">
        <v>4</v>
      </c>
      <c r="E20" t="s">
        <v>34</v>
      </c>
    </row>
    <row r="21" spans="1:5" x14ac:dyDescent="0.25">
      <c r="A21" t="s">
        <v>35</v>
      </c>
      <c r="B21">
        <v>3</v>
      </c>
      <c r="C21" t="s">
        <v>36</v>
      </c>
      <c r="D21">
        <v>4</v>
      </c>
      <c r="E21" t="s">
        <v>37</v>
      </c>
    </row>
    <row r="22" spans="1:5" x14ac:dyDescent="0.25">
      <c r="A22" t="s">
        <v>38</v>
      </c>
      <c r="B22">
        <v>4</v>
      </c>
      <c r="C22" t="s">
        <v>39</v>
      </c>
      <c r="D22">
        <v>4</v>
      </c>
      <c r="E22" t="s">
        <v>40</v>
      </c>
    </row>
    <row r="23" spans="1:5" x14ac:dyDescent="0.25">
      <c r="B23" s="1">
        <f>SUM(B12:B22)</f>
        <v>43</v>
      </c>
      <c r="D23" s="1">
        <f>SUM(D12:D22)</f>
        <v>45</v>
      </c>
    </row>
    <row r="26" spans="1:5" x14ac:dyDescent="0.25">
      <c r="B26" t="s">
        <v>41</v>
      </c>
      <c r="C26" t="s">
        <v>42</v>
      </c>
      <c r="D26" t="s">
        <v>43</v>
      </c>
      <c r="E26" t="s">
        <v>44</v>
      </c>
    </row>
    <row r="27" spans="1:5" x14ac:dyDescent="0.25">
      <c r="A27" t="s">
        <v>8</v>
      </c>
      <c r="B27">
        <v>2</v>
      </c>
      <c r="C27" t="s">
        <v>45</v>
      </c>
      <c r="D27">
        <v>4</v>
      </c>
      <c r="E27" t="s">
        <v>46</v>
      </c>
    </row>
    <row r="28" spans="1:5" x14ac:dyDescent="0.25">
      <c r="A28" t="s">
        <v>11</v>
      </c>
      <c r="B28">
        <v>3</v>
      </c>
      <c r="C28" t="s">
        <v>47</v>
      </c>
      <c r="D28">
        <v>5</v>
      </c>
      <c r="E28" t="s">
        <v>48</v>
      </c>
    </row>
    <row r="29" spans="1:5" x14ac:dyDescent="0.25">
      <c r="A29" t="s">
        <v>14</v>
      </c>
      <c r="B29">
        <v>3</v>
      </c>
      <c r="C29" t="s">
        <v>49</v>
      </c>
      <c r="D29">
        <v>4</v>
      </c>
      <c r="E29" t="s">
        <v>50</v>
      </c>
    </row>
    <row r="30" spans="1:5" x14ac:dyDescent="0.25">
      <c r="A30" t="s">
        <v>17</v>
      </c>
      <c r="B30">
        <v>4</v>
      </c>
      <c r="C30" t="s">
        <v>51</v>
      </c>
      <c r="D30">
        <v>4</v>
      </c>
      <c r="E30" t="s">
        <v>52</v>
      </c>
    </row>
    <row r="31" spans="1:5" x14ac:dyDescent="0.25">
      <c r="A31" t="s">
        <v>20</v>
      </c>
      <c r="B31">
        <v>3</v>
      </c>
      <c r="C31" t="s">
        <v>53</v>
      </c>
      <c r="D31">
        <v>4</v>
      </c>
      <c r="E31" t="s">
        <v>54</v>
      </c>
    </row>
    <row r="32" spans="1:5" x14ac:dyDescent="0.25">
      <c r="A32" t="s">
        <v>23</v>
      </c>
      <c r="B32">
        <v>4</v>
      </c>
      <c r="C32" t="s">
        <v>55</v>
      </c>
      <c r="D32">
        <v>3</v>
      </c>
      <c r="E32" t="s">
        <v>56</v>
      </c>
    </row>
    <row r="33" spans="1:5" x14ac:dyDescent="0.25">
      <c r="A33" t="s">
        <v>26</v>
      </c>
      <c r="B33">
        <v>3</v>
      </c>
      <c r="C33" t="s">
        <v>57</v>
      </c>
      <c r="D33">
        <v>4</v>
      </c>
      <c r="E33" t="s">
        <v>58</v>
      </c>
    </row>
    <row r="34" spans="1:5" x14ac:dyDescent="0.25">
      <c r="A34" t="s">
        <v>29</v>
      </c>
      <c r="B34">
        <v>3</v>
      </c>
      <c r="C34" t="s">
        <v>59</v>
      </c>
      <c r="D34">
        <v>5</v>
      </c>
      <c r="E34" t="s">
        <v>60</v>
      </c>
    </row>
    <row r="35" spans="1:5" x14ac:dyDescent="0.25">
      <c r="A35" t="s">
        <v>32</v>
      </c>
      <c r="B35">
        <v>3</v>
      </c>
      <c r="C35" t="s">
        <v>61</v>
      </c>
      <c r="D35">
        <v>4</v>
      </c>
      <c r="E35" t="s">
        <v>62</v>
      </c>
    </row>
    <row r="36" spans="1:5" x14ac:dyDescent="0.25">
      <c r="A36" t="s">
        <v>35</v>
      </c>
      <c r="B36">
        <v>4</v>
      </c>
      <c r="C36" t="s">
        <v>63</v>
      </c>
      <c r="D36">
        <v>3</v>
      </c>
      <c r="E36" t="s">
        <v>64</v>
      </c>
    </row>
    <row r="37" spans="1:5" x14ac:dyDescent="0.25">
      <c r="A37" t="s">
        <v>38</v>
      </c>
      <c r="B37">
        <v>3</v>
      </c>
      <c r="C37" t="s">
        <v>65</v>
      </c>
      <c r="D37">
        <v>4</v>
      </c>
      <c r="E37" t="s">
        <v>66</v>
      </c>
    </row>
    <row r="38" spans="1:5" x14ac:dyDescent="0.25">
      <c r="B38" s="1">
        <f>SUM(B27:B37)</f>
        <v>35</v>
      </c>
      <c r="D38" s="1">
        <f>SUM(D27:D37)</f>
        <v>44</v>
      </c>
    </row>
    <row r="44" spans="1:5" x14ac:dyDescent="0.25">
      <c r="A44" t="s">
        <v>67</v>
      </c>
      <c r="B44" t="s">
        <v>68</v>
      </c>
    </row>
    <row r="46" spans="1:5" x14ac:dyDescent="0.25">
      <c r="A46" t="s">
        <v>23</v>
      </c>
      <c r="B46">
        <v>1</v>
      </c>
      <c r="C46" s="2" t="s">
        <v>69</v>
      </c>
    </row>
    <row r="47" spans="1:5" x14ac:dyDescent="0.25">
      <c r="A47" t="s">
        <v>35</v>
      </c>
      <c r="B47">
        <v>2</v>
      </c>
      <c r="C47" s="2" t="s">
        <v>70</v>
      </c>
    </row>
    <row r="54" spans="1:3" x14ac:dyDescent="0.25">
      <c r="A54" t="s">
        <v>71</v>
      </c>
    </row>
    <row r="57" spans="1:3" x14ac:dyDescent="0.25">
      <c r="A57" s="3" t="s">
        <v>72</v>
      </c>
      <c r="B57">
        <v>2024</v>
      </c>
      <c r="C57" t="s">
        <v>35</v>
      </c>
    </row>
    <row r="58" spans="1:3" x14ac:dyDescent="0.25">
      <c r="A58" t="s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"/>
  <sheetViews>
    <sheetView tabSelected="1" topLeftCell="A7" workbookViewId="0">
      <selection activeCell="H4" sqref="H4:H15"/>
    </sheetView>
  </sheetViews>
  <sheetFormatPr defaultRowHeight="15" x14ac:dyDescent="0.25"/>
  <cols>
    <col min="1" max="1" width="30" customWidth="1"/>
    <col min="2" max="2" width="12" customWidth="1"/>
    <col min="3" max="3" width="55" customWidth="1"/>
    <col min="4" max="4" width="12" customWidth="1"/>
    <col min="5" max="5" width="55" customWidth="1"/>
    <col min="6" max="6" width="12" customWidth="1"/>
    <col min="7" max="7" width="55" customWidth="1"/>
    <col min="8" max="8" width="22" customWidth="1"/>
    <col min="9" max="9" width="55" customWidth="1"/>
  </cols>
  <sheetData>
    <row r="1" spans="1:9" ht="17.25" x14ac:dyDescent="0.3">
      <c r="A1" s="8" t="s">
        <v>74</v>
      </c>
      <c r="B1" s="9"/>
      <c r="C1" s="9"/>
      <c r="D1" s="9"/>
      <c r="E1" s="9"/>
      <c r="F1" s="9"/>
      <c r="G1" s="9"/>
      <c r="H1" s="9"/>
      <c r="I1" s="9"/>
    </row>
    <row r="3" spans="1:9" x14ac:dyDescent="0.25">
      <c r="A3" s="4" t="s">
        <v>2</v>
      </c>
      <c r="B3" s="4" t="s">
        <v>4</v>
      </c>
      <c r="C3" s="4" t="s">
        <v>5</v>
      </c>
      <c r="D3" s="4" t="s">
        <v>41</v>
      </c>
      <c r="E3" s="4" t="s">
        <v>42</v>
      </c>
      <c r="F3" s="4" t="s">
        <v>6</v>
      </c>
      <c r="G3" s="4" t="s">
        <v>7</v>
      </c>
      <c r="H3" s="4" t="s">
        <v>43</v>
      </c>
      <c r="I3" s="4" t="s">
        <v>44</v>
      </c>
    </row>
    <row r="4" spans="1:9" ht="60" customHeight="1" x14ac:dyDescent="0.25">
      <c r="A4" s="5" t="s">
        <v>8</v>
      </c>
      <c r="B4" s="6">
        <v>4</v>
      </c>
      <c r="C4" s="7" t="s">
        <v>75</v>
      </c>
      <c r="D4" s="6">
        <v>2</v>
      </c>
      <c r="E4" s="7" t="s">
        <v>76</v>
      </c>
      <c r="F4" s="6">
        <v>5</v>
      </c>
      <c r="G4" s="7" t="s">
        <v>77</v>
      </c>
      <c r="H4" s="6">
        <v>5</v>
      </c>
      <c r="I4" s="7" t="s">
        <v>78</v>
      </c>
    </row>
    <row r="5" spans="1:9" ht="60" customHeight="1" x14ac:dyDescent="0.25">
      <c r="A5" s="5" t="s">
        <v>11</v>
      </c>
      <c r="B5" s="6">
        <v>5</v>
      </c>
      <c r="C5" s="7" t="s">
        <v>79</v>
      </c>
      <c r="D5" s="6">
        <v>3</v>
      </c>
      <c r="E5" s="7" t="s">
        <v>80</v>
      </c>
      <c r="F5" s="6">
        <v>5</v>
      </c>
      <c r="G5" s="7" t="s">
        <v>81</v>
      </c>
      <c r="H5" s="6">
        <v>5</v>
      </c>
      <c r="I5" s="7" t="s">
        <v>82</v>
      </c>
    </row>
    <row r="6" spans="1:9" ht="60" customHeight="1" x14ac:dyDescent="0.25">
      <c r="A6" s="5" t="s">
        <v>14</v>
      </c>
      <c r="B6" s="6">
        <v>4</v>
      </c>
      <c r="C6" s="7" t="s">
        <v>83</v>
      </c>
      <c r="D6" s="6">
        <v>3</v>
      </c>
      <c r="E6" s="7" t="s">
        <v>84</v>
      </c>
      <c r="F6" s="6">
        <v>4</v>
      </c>
      <c r="G6" s="7" t="s">
        <v>85</v>
      </c>
      <c r="H6" s="6">
        <v>5</v>
      </c>
      <c r="I6" s="7" t="s">
        <v>86</v>
      </c>
    </row>
    <row r="7" spans="1:9" ht="60" customHeight="1" x14ac:dyDescent="0.25">
      <c r="A7" s="5" t="s">
        <v>17</v>
      </c>
      <c r="B7" s="6">
        <v>5</v>
      </c>
      <c r="C7" s="7" t="s">
        <v>87</v>
      </c>
      <c r="D7" s="6">
        <v>4</v>
      </c>
      <c r="E7" s="7" t="s">
        <v>88</v>
      </c>
      <c r="F7" s="6">
        <v>5</v>
      </c>
      <c r="G7" s="7" t="s">
        <v>89</v>
      </c>
      <c r="H7" s="6">
        <v>4</v>
      </c>
      <c r="I7" s="7" t="s">
        <v>90</v>
      </c>
    </row>
    <row r="8" spans="1:9" ht="60" customHeight="1" x14ac:dyDescent="0.25">
      <c r="A8" s="5" t="s">
        <v>20</v>
      </c>
      <c r="B8" s="6">
        <v>3</v>
      </c>
      <c r="C8" s="7" t="s">
        <v>91</v>
      </c>
      <c r="D8" s="6">
        <v>2</v>
      </c>
      <c r="E8" s="7" t="s">
        <v>92</v>
      </c>
      <c r="F8" s="6">
        <v>3</v>
      </c>
      <c r="G8" s="7" t="s">
        <v>93</v>
      </c>
      <c r="H8" s="6">
        <v>4</v>
      </c>
      <c r="I8" s="7" t="s">
        <v>94</v>
      </c>
    </row>
    <row r="9" spans="1:9" ht="60" customHeight="1" x14ac:dyDescent="0.25">
      <c r="A9" s="5" t="s">
        <v>23</v>
      </c>
      <c r="B9" s="6">
        <v>3</v>
      </c>
      <c r="C9" s="7" t="s">
        <v>95</v>
      </c>
      <c r="D9" s="6">
        <v>3</v>
      </c>
      <c r="E9" s="7" t="s">
        <v>96</v>
      </c>
      <c r="F9" s="6">
        <v>3</v>
      </c>
      <c r="G9" s="7" t="s">
        <v>97</v>
      </c>
      <c r="H9" s="6">
        <v>3</v>
      </c>
      <c r="I9" s="7" t="s">
        <v>98</v>
      </c>
    </row>
    <row r="10" spans="1:9" ht="60" customHeight="1" x14ac:dyDescent="0.25">
      <c r="A10" s="5" t="s">
        <v>26</v>
      </c>
      <c r="B10" s="6">
        <v>3</v>
      </c>
      <c r="C10" s="7" t="s">
        <v>99</v>
      </c>
      <c r="D10" s="6">
        <v>3</v>
      </c>
      <c r="E10" s="7" t="s">
        <v>100</v>
      </c>
      <c r="F10" s="6">
        <v>4</v>
      </c>
      <c r="G10" s="7" t="s">
        <v>101</v>
      </c>
      <c r="H10" s="6">
        <v>3</v>
      </c>
      <c r="I10" s="7" t="s">
        <v>102</v>
      </c>
    </row>
    <row r="11" spans="1:9" ht="60" customHeight="1" x14ac:dyDescent="0.25">
      <c r="A11" s="5" t="s">
        <v>29</v>
      </c>
      <c r="B11" s="6">
        <v>4</v>
      </c>
      <c r="C11" s="7" t="s">
        <v>103</v>
      </c>
      <c r="D11" s="6">
        <v>3</v>
      </c>
      <c r="E11" s="7" t="s">
        <v>104</v>
      </c>
      <c r="F11" s="6">
        <v>4</v>
      </c>
      <c r="G11" s="7" t="s">
        <v>105</v>
      </c>
      <c r="H11" s="6">
        <v>5</v>
      </c>
      <c r="I11" s="7" t="s">
        <v>106</v>
      </c>
    </row>
    <row r="12" spans="1:9" ht="60" customHeight="1" x14ac:dyDescent="0.25">
      <c r="A12" s="5" t="s">
        <v>32</v>
      </c>
      <c r="B12" s="6">
        <v>3</v>
      </c>
      <c r="C12" s="7" t="s">
        <v>107</v>
      </c>
      <c r="D12" s="6">
        <v>2</v>
      </c>
      <c r="E12" s="7" t="s">
        <v>108</v>
      </c>
      <c r="F12" s="6">
        <v>3</v>
      </c>
      <c r="G12" s="7" t="s">
        <v>109</v>
      </c>
      <c r="H12" s="6">
        <v>4</v>
      </c>
      <c r="I12" s="7" t="s">
        <v>110</v>
      </c>
    </row>
    <row r="13" spans="1:9" ht="60" customHeight="1" x14ac:dyDescent="0.25">
      <c r="A13" s="5" t="s">
        <v>35</v>
      </c>
      <c r="B13" s="6">
        <v>3</v>
      </c>
      <c r="C13" s="7" t="s">
        <v>111</v>
      </c>
      <c r="D13" s="6">
        <v>2</v>
      </c>
      <c r="E13" s="7" t="s">
        <v>112</v>
      </c>
      <c r="F13" s="6">
        <v>4</v>
      </c>
      <c r="G13" s="7" t="s">
        <v>113</v>
      </c>
      <c r="H13" s="6">
        <v>3</v>
      </c>
      <c r="I13" s="7" t="s">
        <v>114</v>
      </c>
    </row>
    <row r="14" spans="1:9" ht="60" customHeight="1" x14ac:dyDescent="0.25">
      <c r="A14" s="5" t="s">
        <v>38</v>
      </c>
      <c r="B14" s="6">
        <v>4</v>
      </c>
      <c r="C14" s="7" t="s">
        <v>115</v>
      </c>
      <c r="D14" s="6">
        <v>3</v>
      </c>
      <c r="E14" s="7" t="s">
        <v>116</v>
      </c>
      <c r="F14" s="6">
        <v>5</v>
      </c>
      <c r="G14" s="7" t="s">
        <v>117</v>
      </c>
      <c r="H14" s="6">
        <v>5</v>
      </c>
      <c r="I14" s="7" t="s">
        <v>118</v>
      </c>
    </row>
    <row r="15" spans="1:9" x14ac:dyDescent="0.25">
      <c r="B15">
        <f>SUM(B4:B14)</f>
        <v>41</v>
      </c>
      <c r="D15">
        <f>SUM(D4:D14)</f>
        <v>30</v>
      </c>
      <c r="F15">
        <f>SUM(F4:F14)</f>
        <v>45</v>
      </c>
      <c r="H15">
        <f>SUM(H4:H14)</f>
        <v>46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ClP_2024_Claude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vanessa kobler</cp:lastModifiedBy>
  <dcterms:created xsi:type="dcterms:W3CDTF">2026-05-06T14:19:06Z</dcterms:created>
  <dcterms:modified xsi:type="dcterms:W3CDTF">2026-05-06T14:22:05Z</dcterms:modified>
</cp:coreProperties>
</file>